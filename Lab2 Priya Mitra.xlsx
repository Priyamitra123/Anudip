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F8D1B49-E6A0-4C4D-95AA-9431D4856D90}" xr6:coauthVersionLast="47" xr6:coauthVersionMax="47" xr10:uidLastSave="{00000000-0000-0000-0000-000000000000}"/>
  <bookViews>
    <workbookView xWindow="-108" yWindow="-108" windowWidth="23256" windowHeight="13176" xr2:uid="{2CE48592-67DA-4AFC-90C2-FAB71330BA3E}"/>
  </bookViews>
  <sheets>
    <sheet name="Lab 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5" i="3"/>
  <c r="L6" i="3"/>
  <c r="L7" i="3"/>
  <c r="L8" i="3"/>
  <c r="L9" i="3"/>
  <c r="L10" i="3"/>
  <c r="L5" i="3"/>
  <c r="K6" i="3"/>
  <c r="K7" i="3"/>
  <c r="K8" i="3"/>
  <c r="K9" i="3"/>
  <c r="K10" i="3"/>
  <c r="K5" i="3"/>
  <c r="J6" i="3"/>
  <c r="J7" i="3"/>
  <c r="J8" i="3"/>
  <c r="J9" i="3"/>
  <c r="J10" i="3"/>
  <c r="J5" i="3"/>
  <c r="I6" i="3"/>
  <c r="I7" i="3"/>
  <c r="I8" i="3"/>
  <c r="I9" i="3"/>
  <c r="I10" i="3"/>
  <c r="I5" i="3"/>
  <c r="H6" i="3"/>
  <c r="H7" i="3"/>
  <c r="H8" i="3"/>
  <c r="H9" i="3"/>
  <c r="H10" i="3"/>
  <c r="H5" i="3"/>
  <c r="G6" i="3"/>
  <c r="G7" i="3"/>
  <c r="G8" i="3"/>
  <c r="G9" i="3"/>
  <c r="G10" i="3"/>
  <c r="G5" i="3"/>
  <c r="F6" i="3"/>
  <c r="F7" i="3"/>
  <c r="F8" i="3"/>
  <c r="F9" i="3"/>
  <c r="F10" i="3"/>
  <c r="F5" i="3"/>
</calcChain>
</file>

<file path=xl/sharedStrings.xml><?xml version="1.0" encoding="utf-8"?>
<sst xmlns="http://schemas.openxmlformats.org/spreadsheetml/2006/main" count="35" uniqueCount="33">
  <si>
    <t>Product 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</si>
  <si>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</si>
  <si>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</si>
  <si>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</si>
  <si>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</si>
  <si>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</si>
  <si>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</si>
  <si>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</si>
  <si>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</si>
  <si>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</si>
  <si>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</si>
  <si>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</si>
  <si>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</si>
  <si>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</si>
  <si>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</si>
  <si>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Target Status</t>
  </si>
  <si>
    <t>Regional bonus eligibility</t>
  </si>
  <si>
    <t>Commission rate</t>
  </si>
  <si>
    <t>Bonus Amount</t>
  </si>
  <si>
    <t>Sale Performance Category</t>
  </si>
  <si>
    <t>Price Tier</t>
  </si>
  <si>
    <t>Year-End Bonus</t>
  </si>
  <si>
    <t>High Performer</t>
  </si>
  <si>
    <r>
      <rPr>
        <b/>
        <i/>
        <u/>
        <sz val="36"/>
        <color rgb="FFFF0000"/>
        <rFont val="Calibri"/>
        <family val="2"/>
        <scheme val="minor"/>
      </rPr>
      <t>Worksheet</t>
    </r>
    <r>
      <rPr>
        <b/>
        <i/>
        <sz val="36"/>
        <color rgb="FFFF0000"/>
        <rFont val="Calibri"/>
        <family val="2"/>
        <scheme val="minor"/>
      </rPr>
      <t xml:space="preserve">: </t>
    </r>
    <r>
      <rPr>
        <b/>
        <i/>
        <u/>
        <sz val="36"/>
        <color rgb="FFFF0000"/>
        <rFont val="Calibri"/>
        <family val="2"/>
        <scheme val="minor"/>
      </rPr>
      <t>SalesDataa</t>
    </r>
  </si>
  <si>
    <t>1. Use the IF function to evaluate whether each product met its sales targe</t>
  </si>
  <si>
    <t xml:space="preserve">2. Use the IF function to determine if a product is eligible for a regional bonus. Products in the 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</si>
  <si>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</si>
  <si>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</si>
  <si>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</si>
  <si>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 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</si>
  <si>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</si>
  <si>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</si>
  <si>
    <t>:QUESTIONS: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</si>
</sst>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/>
      <sz val="36"/>
      <color rgb="FFFF0000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b/>
      <i/>
      <u/>
      <sz val="48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0" xfId="0" applyFont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18"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9AB76F-6678-4186-9BBA-25B0D6CB2E8E}" name="Table3" displayName="Table3" ref="A4:M10" totalsRowShown="0" headerRowDxfId="1" dataDxfId="0" headerRowBorderDxfId="16" tableBorderDxfId="17" totalsRowBorderDxfId="15">
  <autoFilter ref="A4:M10" xr:uid="{DE9AB76F-6678-4186-9BBA-25B0D6CB2E8E}"/>
  <tableColumns count="13">
    <tableColumn id="1" xr3:uid="{C787D7E8-09E3-4A56-9543-661DA9DF5D79}" name="Product ID" dataDxfId="14"/>
    <tableColumn id="2" xr3:uid="{86C1CA37-16AD-4F7A-A529-2E13656A18C4}" name="Product" dataDxfId="13"/>
    <tableColumn id="3" xr3:uid="{5D53BE0A-A1BA-490C-AE28-EEBD756A4803}" name="Sales" dataDxfId="12"/>
    <tableColumn id="4" xr3:uid="{B2122921-EF0D-4171-8EDA-E1885A34F21D}" name="Target" dataDxfId="11"/>
    <tableColumn id="5" xr3:uid="{6083702C-652B-4CD2-AF54-4C9999E2BF9E}" name="Region" dataDxfId="10"/>
    <tableColumn id="6" xr3:uid="{CD3F217C-B477-4A3B-989D-7AA5448EE0DF}" name="Target Status" dataDxfId="9">
      <calculatedColumnFormula>IF(C5&gt;=D5,"Met Target","Did Not Meet")</calculatedColumnFormula>
    </tableColumn>
    <tableColumn id="7" xr3:uid="{EC130593-25D0-43DA-AE4D-9A003A7D8896}" name="Regional bonus eligibility" dataDxfId="8">
      <calculatedColumnFormula>IF(AND(E5="North",C5&gt;200),"Eligible","Not Eligible")</calculatedColumnFormula>
    </tableColumn>
    <tableColumn id="8" xr3:uid="{9778570A-FDA1-41C9-A868-7EC522066647}" name="Commission rate" dataDxfId="7">
      <calculatedColumnFormula>IF(C5&gt;=200,10%,IF(C5&gt;=150,7%,5%))</calculatedColumnFormula>
    </tableColumn>
    <tableColumn id="9" xr3:uid="{712F25BC-0920-4CCC-83D1-48C9AB48C5DC}" name="Bonus Amount" dataDxfId="6">
      <calculatedColumnFormula>IF(C5&gt;=D5,C5*10%,C5*5%)</calculatedColumnFormula>
    </tableColumn>
    <tableColumn id="10" xr3:uid="{757514DD-F96F-4C3D-9251-F8A938B64CA9}" name="Sale Performance Category" dataDxfId="5">
      <calculatedColumnFormula>IF(C5&gt;=200,"Excellent",IF(C5&gt;=150,"Good","Needs Improvement"))</calculatedColumnFormula>
    </tableColumn>
    <tableColumn id="11" xr3:uid="{AE9FA43B-61B3-46DB-90F4-739AD72AF8DD}" name="Price Tier" dataDxfId="4">
      <calculatedColumnFormula>IF(C5&gt;200,"High",IF(C5&gt;=100,"Medium","Low"))</calculatedColumnFormula>
    </tableColumn>
    <tableColumn id="12" xr3:uid="{FCB6AB43-BBF5-4298-BB99-88E8DB323183}" name="Year-End Bonus" dataDxfId="3">
      <calculatedColumnFormula>IF(AND(C5&gt;=150,E5="North"),500,300)</calculatedColumnFormula>
    </tableColumn>
    <tableColumn id="13" xr3:uid="{1CD3C4E4-311F-4A76-9665-1ACDDDCE2D43}" name="High Performer" dataDxfId="2">
      <calculatedColumnFormula>IF(C5&gt;=PERCENTILE($C$5:$C$10,0.75),"High Performer","Normal Performer")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BEE7-9435-4F48-B389-B3BFAC262784}">
  <dimension ref="A1:M27"/>
  <sheetViews>
    <sheetView tabSelected="1" zoomScale="56" zoomScaleNormal="55" workbookViewId="0">
      <selection activeCell="B41" sqref="B41"/>
    </sheetView>
  </sheetViews>
  <sheetFormatPr defaultRowHeight="14.4" x14ac:dyDescent="0.3"/>
  <cols>
    <col min="1" max="1" width="23" bestFit="1" customWidth="1"/>
    <col min="2" max="2" width="19.21875" bestFit="1" customWidth="1"/>
    <col min="3" max="3" width="15.5546875" customWidth="1"/>
    <col min="4" max="4" width="17.33203125" bestFit="1" customWidth="1"/>
    <col min="5" max="5" width="18" bestFit="1" customWidth="1"/>
    <col min="6" max="6" width="27" bestFit="1" customWidth="1"/>
    <col min="7" max="7" width="40.77734375" bestFit="1" customWidth="1"/>
    <col min="8" max="8" width="32.109375" bestFit="1" customWidth="1"/>
    <col min="9" max="9" width="29.109375" bestFit="1" customWidth="1"/>
    <col min="10" max="10" width="46.6640625" bestFit="1" customWidth="1"/>
    <col min="11" max="11" width="21.6640625" bestFit="1" customWidth="1"/>
    <col min="12" max="12" width="30.44140625" bestFit="1" customWidth="1"/>
    <col min="13" max="13" width="30.109375" bestFit="1" customWidth="1"/>
  </cols>
  <sheetData>
    <row r="1" spans="1:13" ht="15" thickBot="1" x14ac:dyDescent="0.35"/>
    <row r="2" spans="1:13" ht="32.4" customHeight="1" thickTop="1" thickBot="1" x14ac:dyDescent="0.35">
      <c r="E2" s="12" t="s">
        <v>23</v>
      </c>
      <c r="F2" s="13"/>
      <c r="G2" s="13"/>
      <c r="H2" s="14"/>
    </row>
    <row r="3" spans="1:13" ht="15" thickTop="1" x14ac:dyDescent="0.3"/>
    <row r="4" spans="1:13" s="1" customFormat="1" ht="23.4" x14ac:dyDescent="0.3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15</v>
      </c>
      <c r="G4" s="4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5" t="s">
        <v>22</v>
      </c>
    </row>
    <row r="5" spans="1:13" ht="23.4" x14ac:dyDescent="0.45">
      <c r="A5" s="6">
        <v>101</v>
      </c>
      <c r="B5" s="7" t="s">
        <v>5</v>
      </c>
      <c r="C5" s="7">
        <v>120</v>
      </c>
      <c r="D5" s="7">
        <v>150</v>
      </c>
      <c r="E5" s="7" t="s">
        <v>11</v>
      </c>
      <c r="F5" s="7" t="str">
        <f>IF(C5&gt;=D5,"Met Target","Did Not Meet")</f>
        <v>Did Not Meet</v>
      </c>
      <c r="G5" s="7" t="str">
        <f>IF(AND(E5="North",C5&gt;200),"Eligible","Not Eligible")</f>
        <v>Not Eligible</v>
      </c>
      <c r="H5" s="7">
        <f>IF(C5&gt;=200,10%,IF(C5&gt;=150,7%,5%))</f>
        <v>0.05</v>
      </c>
      <c r="I5" s="7">
        <f>IF(C5&gt;=D5,C5*10%,C5*5%)</f>
        <v>6</v>
      </c>
      <c r="J5" s="7" t="str">
        <f>IF(C5&gt;=200,"Excellent",IF(C5&gt;=150,"Good","Needs Improvement"))</f>
        <v>Needs Improvement</v>
      </c>
      <c r="K5" s="7" t="str">
        <f>IF(C5&gt;200,"High",IF(C5&gt;=100,"Medium","Low"))</f>
        <v>Medium</v>
      </c>
      <c r="L5" s="7">
        <f>IF(AND(C5&gt;=150,E5="North"),500,300)</f>
        <v>300</v>
      </c>
      <c r="M5" s="8" t="str">
        <f>IF(C5&gt;=PERCENTILE($C$5:$C$10,0.75),"High Performer","Normal Performer")</f>
        <v>Normal Performer</v>
      </c>
    </row>
    <row r="6" spans="1:13" ht="23.4" x14ac:dyDescent="0.45">
      <c r="A6" s="6">
        <v>102</v>
      </c>
      <c r="B6" s="7" t="s">
        <v>6</v>
      </c>
      <c r="C6" s="7">
        <v>150</v>
      </c>
      <c r="D6" s="7">
        <v>140</v>
      </c>
      <c r="E6" s="7" t="s">
        <v>12</v>
      </c>
      <c r="F6" s="7" t="str">
        <f t="shared" ref="F6:F10" si="0">IF(C6&gt;=D6,"Met Target","Did Not Meet")</f>
        <v>Met Target</v>
      </c>
      <c r="G6" s="7" t="str">
        <f t="shared" ref="G6:G10" si="1">IF(AND(E6="North",C6&gt;200),"Eligible","Not Eligible")</f>
        <v>Not Eligible</v>
      </c>
      <c r="H6" s="7">
        <f t="shared" ref="H6:H10" si="2">IF(C6&gt;=200,10%,IF(C6&gt;=150,7%,5%))</f>
        <v>7.0000000000000007E-2</v>
      </c>
      <c r="I6" s="7">
        <f t="shared" ref="I6:I10" si="3">IF(C6&gt;=D6,C6*10%,C6*5%)</f>
        <v>15</v>
      </c>
      <c r="J6" s="7" t="str">
        <f t="shared" ref="J6:J10" si="4">IF(C6&gt;=200,"Excellent",IF(C6&gt;=150,"Good","Needs Improvement"))</f>
        <v>Good</v>
      </c>
      <c r="K6" s="7" t="str">
        <f t="shared" ref="K6:K10" si="5">IF(C6&gt;200,"High",IF(C6&gt;=100,"Medium","Low"))</f>
        <v>Medium</v>
      </c>
      <c r="L6" s="7">
        <f t="shared" ref="L6:L10" si="6">IF(AND(C6&gt;=150,E6="North"),500,300)</f>
        <v>300</v>
      </c>
      <c r="M6" s="8" t="str">
        <f t="shared" ref="M6:M10" si="7">IF(C6&gt;=PERCENTILE($C$5:$C$10,0.75),"High Performer","Normal Performer")</f>
        <v>Normal Performer</v>
      </c>
    </row>
    <row r="7" spans="1:13" ht="23.4" x14ac:dyDescent="0.45">
      <c r="A7" s="6">
        <v>103</v>
      </c>
      <c r="B7" s="7" t="s">
        <v>7</v>
      </c>
      <c r="C7" s="7">
        <v>200</v>
      </c>
      <c r="D7" s="7">
        <v>200</v>
      </c>
      <c r="E7" s="7" t="s">
        <v>13</v>
      </c>
      <c r="F7" s="7" t="str">
        <f t="shared" si="0"/>
        <v>Met Target</v>
      </c>
      <c r="G7" s="7" t="str">
        <f t="shared" si="1"/>
        <v>Not Eligible</v>
      </c>
      <c r="H7" s="7">
        <f t="shared" si="2"/>
        <v>0.1</v>
      </c>
      <c r="I7" s="7">
        <f t="shared" si="3"/>
        <v>20</v>
      </c>
      <c r="J7" s="7" t="str">
        <f t="shared" si="4"/>
        <v>Excellent</v>
      </c>
      <c r="K7" s="7" t="str">
        <f t="shared" si="5"/>
        <v>Medium</v>
      </c>
      <c r="L7" s="7">
        <f t="shared" si="6"/>
        <v>300</v>
      </c>
      <c r="M7" s="8" t="str">
        <f t="shared" si="7"/>
        <v>High Performer</v>
      </c>
    </row>
    <row r="8" spans="1:13" ht="23.4" x14ac:dyDescent="0.45">
      <c r="A8" s="6">
        <v>104</v>
      </c>
      <c r="B8" s="7" t="s">
        <v>8</v>
      </c>
      <c r="C8" s="7">
        <v>90</v>
      </c>
      <c r="D8" s="7">
        <v>100</v>
      </c>
      <c r="E8" s="7" t="s">
        <v>14</v>
      </c>
      <c r="F8" s="7" t="str">
        <f t="shared" si="0"/>
        <v>Did Not Meet</v>
      </c>
      <c r="G8" s="7" t="str">
        <f t="shared" si="1"/>
        <v>Not Eligible</v>
      </c>
      <c r="H8" s="7">
        <f t="shared" si="2"/>
        <v>0.05</v>
      </c>
      <c r="I8" s="7">
        <f t="shared" si="3"/>
        <v>4.5</v>
      </c>
      <c r="J8" s="7" t="str">
        <f t="shared" si="4"/>
        <v>Needs Improvement</v>
      </c>
      <c r="K8" s="7" t="str">
        <f t="shared" si="5"/>
        <v>Low</v>
      </c>
      <c r="L8" s="7">
        <f t="shared" si="6"/>
        <v>300</v>
      </c>
      <c r="M8" s="8" t="str">
        <f t="shared" si="7"/>
        <v>Normal Performer</v>
      </c>
    </row>
    <row r="9" spans="1:13" ht="23.4" x14ac:dyDescent="0.45">
      <c r="A9" s="6">
        <v>105</v>
      </c>
      <c r="B9" s="7" t="s">
        <v>9</v>
      </c>
      <c r="C9" s="7">
        <v>220</v>
      </c>
      <c r="D9" s="7">
        <v>210</v>
      </c>
      <c r="E9" s="7" t="s">
        <v>11</v>
      </c>
      <c r="F9" s="7" t="str">
        <f t="shared" si="0"/>
        <v>Met Target</v>
      </c>
      <c r="G9" s="7" t="str">
        <f t="shared" si="1"/>
        <v>Eligible</v>
      </c>
      <c r="H9" s="7">
        <f t="shared" si="2"/>
        <v>0.1</v>
      </c>
      <c r="I9" s="7">
        <f t="shared" si="3"/>
        <v>22</v>
      </c>
      <c r="J9" s="7" t="str">
        <f t="shared" si="4"/>
        <v>Excellent</v>
      </c>
      <c r="K9" s="7" t="str">
        <f t="shared" si="5"/>
        <v>High</v>
      </c>
      <c r="L9" s="7">
        <f t="shared" si="6"/>
        <v>500</v>
      </c>
      <c r="M9" s="8" t="str">
        <f t="shared" si="7"/>
        <v>High Performer</v>
      </c>
    </row>
    <row r="10" spans="1:13" ht="23.4" x14ac:dyDescent="0.45">
      <c r="A10" s="9">
        <v>106</v>
      </c>
      <c r="B10" s="10" t="s">
        <v>10</v>
      </c>
      <c r="C10" s="10">
        <v>130</v>
      </c>
      <c r="D10" s="10">
        <v>160</v>
      </c>
      <c r="E10" s="10" t="s">
        <v>12</v>
      </c>
      <c r="F10" s="10" t="str">
        <f t="shared" si="0"/>
        <v>Did Not Meet</v>
      </c>
      <c r="G10" s="10" t="str">
        <f t="shared" si="1"/>
        <v>Not Eligible</v>
      </c>
      <c r="H10" s="10">
        <f t="shared" si="2"/>
        <v>0.05</v>
      </c>
      <c r="I10" s="10">
        <f t="shared" si="3"/>
        <v>6.5</v>
      </c>
      <c r="J10" s="10" t="str">
        <f t="shared" si="4"/>
        <v>Needs Improvement</v>
      </c>
      <c r="K10" s="10" t="str">
        <f t="shared" si="5"/>
        <v>Medium</v>
      </c>
      <c r="L10" s="10">
        <f t="shared" si="6"/>
        <v>300</v>
      </c>
      <c r="M10" s="11" t="str">
        <f t="shared" si="7"/>
        <v>Normal Performer</v>
      </c>
    </row>
    <row r="13" spans="1:13" ht="55.2" customHeight="1" x14ac:dyDescent="0.3">
      <c r="D13" s="18" t="s">
        <v>32</v>
      </c>
      <c r="E13" s="17"/>
      <c r="F13" s="17"/>
    </row>
    <row r="14" spans="1:13" ht="14.4" customHeight="1" x14ac:dyDescent="0.3"/>
    <row r="15" spans="1:13" ht="24" customHeight="1" x14ac:dyDescent="0.45">
      <c r="B15" s="19" t="s">
        <v>24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s="16" customFormat="1" ht="23.4" customHeight="1" x14ac:dyDescent="0.45">
      <c r="B16" s="19" t="s">
        <v>25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2:13" ht="22.8" customHeight="1" x14ac:dyDescent="0.45">
      <c r="B17" s="19" t="s">
        <v>26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2:13" ht="22.8" customHeight="1" x14ac:dyDescent="0.45">
      <c r="B18" s="19" t="s">
        <v>27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2:13" ht="24.6" customHeight="1" x14ac:dyDescent="0.45">
      <c r="B19" s="19" t="s">
        <v>28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2:13" ht="21" customHeight="1" x14ac:dyDescent="0.45">
      <c r="B20" s="19" t="s">
        <v>29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2:13" ht="22.2" customHeight="1" x14ac:dyDescent="0.45">
      <c r="B21" s="19" t="s">
        <v>30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2:13" ht="21.6" customHeight="1" x14ac:dyDescent="0.45">
      <c r="B22" s="19" t="s">
        <v>31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2:13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2:13" x14ac:dyDescent="0.3">
      <c r="B24" s="15"/>
      <c r="C24" s="15"/>
      <c r="D24" s="15"/>
      <c r="E24" s="15"/>
      <c r="F24" s="15"/>
      <c r="G24" s="15"/>
    </row>
    <row r="25" spans="2:13" x14ac:dyDescent="0.3">
      <c r="B25" s="15"/>
      <c r="C25" s="15"/>
      <c r="D25" s="15"/>
      <c r="E25" s="15"/>
      <c r="F25" s="15"/>
      <c r="G25" s="15"/>
    </row>
    <row r="26" spans="2:13" x14ac:dyDescent="0.3">
      <c r="B26" s="15"/>
      <c r="C26" s="15"/>
      <c r="D26" s="15"/>
      <c r="E26" s="15"/>
      <c r="F26" s="15"/>
      <c r="G26" s="15"/>
    </row>
    <row r="27" spans="2:13" x14ac:dyDescent="0.3">
      <c r="B27" s="15"/>
      <c r="C27" s="15"/>
      <c r="D27" s="15"/>
      <c r="E27" s="15"/>
      <c r="F27" s="15"/>
      <c r="G27" s="15"/>
    </row>
  </sheetData>
  <mergeCells count="15">
    <mergeCell ref="B21:M21"/>
    <mergeCell ref="B22:M22"/>
    <mergeCell ref="B23:M23"/>
    <mergeCell ref="D13:F13"/>
    <mergeCell ref="B24:G24"/>
    <mergeCell ref="B25:G25"/>
    <mergeCell ref="B26:G26"/>
    <mergeCell ref="B27:G27"/>
    <mergeCell ref="B17:M17"/>
    <mergeCell ref="B18:M18"/>
    <mergeCell ref="B19:M19"/>
    <mergeCell ref="B20:M20"/>
    <mergeCell ref="E2:H2"/>
    <mergeCell ref="B15:M15"/>
    <mergeCell ref="B16:M1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Priya Mitra</cp:lastModifiedBy>
  <dcterms:created xsi:type="dcterms:W3CDTF">2025-12-08T11:58:47Z</dcterms:created>
  <dcterms:modified xsi:type="dcterms:W3CDTF">2026-02-27T05:22:43Z</dcterms:modified>
</cp:coreProperties>
</file>